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-HP\git\HouseProject\Data\List\"/>
    </mc:Choice>
  </mc:AlternateContent>
  <xr:revisionPtr revIDLastSave="0" documentId="13_ncr:1_{84CCF2B0-4CC3-4013-B276-E8B47555DB38}" xr6:coauthVersionLast="47" xr6:coauthVersionMax="47" xr10:uidLastSave="{00000000-0000-0000-0000-000000000000}"/>
  <bookViews>
    <workbookView xWindow="-120" yWindow="-120" windowWidth="29040" windowHeight="15720" xr2:uid="{327E96E3-68EA-4C94-859F-13D0A921BED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</calcChain>
</file>

<file path=xl/sharedStrings.xml><?xml version="1.0" encoding="utf-8"?>
<sst xmlns="http://schemas.openxmlformats.org/spreadsheetml/2006/main" count="314" uniqueCount="203">
  <si>
    <t>Address</t>
  </si>
  <si>
    <t>City</t>
  </si>
  <si>
    <t>State</t>
  </si>
  <si>
    <t>Price</t>
  </si>
  <si>
    <t>Acres</t>
  </si>
  <si>
    <t>Type</t>
  </si>
  <si>
    <t>Score</t>
  </si>
  <si>
    <t>Notes</t>
  </si>
  <si>
    <t>Latitude</t>
  </si>
  <si>
    <t>Longitude</t>
  </si>
  <si>
    <t>Drive Dist (mi)</t>
  </si>
  <si>
    <t>Drive Adv/Disadv</t>
  </si>
  <si>
    <t>LLM Score</t>
  </si>
  <si>
    <t>Property URL Link</t>
  </si>
  <si>
    <t>100 Wolfs Ln</t>
  </si>
  <si>
    <t>Fort Valley</t>
  </si>
  <si>
    <t>VA</t>
  </si>
  <si>
    <t>House</t>
  </si>
  <si>
    <t>Rare finding: 9 acres inside National Forest area. Perfect for hunting/shooting.</t>
  </si>
  <si>
    <t>Scenic mountain drive; gravel roads</t>
  </si>
  <si>
    <t>2445 Bear Wallow Hollow Rd</t>
  </si>
  <si>
    <t>Augusta</t>
  </si>
  <si>
    <t>WV</t>
  </si>
  <si>
    <t>Massive acreage (44+ ac) for shooting range. Deep seclusion.</t>
  </si>
  <si>
    <t>Remote access; privacy guaranteed</t>
  </si>
  <si>
    <t>3014 Peach Orchard Rd</t>
  </si>
  <si>
    <t>McConnellsburg</t>
  </si>
  <si>
    <t>PA</t>
  </si>
  <si>
    <t>Huge 39-acre tract. Ideal for hunting camp or private range.</t>
  </si>
  <si>
    <t>Farther drive; very unrestricted</t>
  </si>
  <si>
    <t>1920 Sir Johns Run Rd</t>
  </si>
  <si>
    <t>Berkeley Springs</t>
  </si>
  <si>
    <t>Creek frontage; wooded; near rail trail. Good shooting backstop.</t>
  </si>
  <si>
    <t>Scenic river roads; winding</t>
  </si>
  <si>
    <t>2160 Black Bear Rd</t>
  </si>
  <si>
    <t>Needmore</t>
  </si>
  <si>
    <t>11+ acres in hunting country. Woodland privacy.</t>
  </si>
  <si>
    <t>Rural highways; low traffic</t>
  </si>
  <si>
    <t>22606 German River Rd</t>
  </si>
  <si>
    <t>Criders</t>
  </si>
  <si>
    <t>Cabin</t>
  </si>
  <si>
    <t>Unbeatable acreage (117 ac) for price. Borders National Forest. Rustic.</t>
  </si>
  <si>
    <t>Long drive; ultimate isolation</t>
  </si>
  <si>
    <t>5268 Hutter Rd</t>
  </si>
  <si>
    <t>Fisher</t>
  </si>
  <si>
    <t>18 acres of mixed fields/woods. Barn included.</t>
  </si>
  <si>
    <t>Beautiful valley drive; Corridor H</t>
  </si>
  <si>
    <t>3387 State Road 259</t>
  </si>
  <si>
    <t>Wardensville</t>
  </si>
  <si>
    <t>Nearly 20 acres. Easy access off Rt 259. Hunting ready.</t>
  </si>
  <si>
    <t>Fast access via I-66/Rt 48</t>
  </si>
  <si>
    <t>Easter Ridge Ln</t>
  </si>
  <si>
    <t>Winchester</t>
  </si>
  <si>
    <t>Hunting cabin on 40 acres. Wood stove. Off-grid potential.</t>
  </si>
  <si>
    <t>Mixed gravel; private</t>
  </si>
  <si>
    <t>1060 Buffalo Ridge Rd</t>
  </si>
  <si>
    <t>10+ acres with affordable home. Ridge top views.</t>
  </si>
  <si>
    <t>Dirt/Gravel driveway; view advantage</t>
  </si>
  <si>
    <t>45 Cougar Hollow Rd</t>
  </si>
  <si>
    <t>Romney</t>
  </si>
  <si>
    <t>Modern home on 10.9 acres. Ready for recreation.</t>
  </si>
  <si>
    <t>Remote; good value</t>
  </si>
  <si>
    <t>239 Car Wash Ln</t>
  </si>
  <si>
    <t>11.47 acres. Unrestricted land suitable for shooting/ATVs.</t>
  </si>
  <si>
    <t>Easy access off Rt 50</t>
  </si>
  <si>
    <t>3782 Wardensville Grade</t>
  </si>
  <si>
    <t>Ranch on 5 acres. Mountain views. Close to town yet rural.</t>
  </si>
  <si>
    <t>Paved road; close to services</t>
  </si>
  <si>
    <t>9987 Capon River Rd</t>
  </si>
  <si>
    <t>Yellow Spring</t>
  </si>
  <si>
    <t>River proximity. 7 acres wooded. High recreational value.</t>
  </si>
  <si>
    <t>Scenic river road; potential flood zone parts</t>
  </si>
  <si>
    <t>886 Mountain Heritage Rd</t>
  </si>
  <si>
    <t>Affordable entry: 7.8 acres. Fixer potential or cabin use.</t>
  </si>
  <si>
    <t>Gravel access; budget friendly</t>
  </si>
  <si>
    <t>30 Woodman Dr</t>
  </si>
  <si>
    <t>Mathias</t>
  </si>
  <si>
    <t>George Washington Nat Forest nearby. 6+ acres.</t>
  </si>
  <si>
    <t>Beautiful area; near Lost River</t>
  </si>
  <si>
    <t>168 Pioneer Trl</t>
  </si>
  <si>
    <t>Great Cacapon</t>
  </si>
  <si>
    <t>5.6 acres near Cacapon River. Secluded.</t>
  </si>
  <si>
    <t>Mountain roads; river access</t>
  </si>
  <si>
    <t>211 Crossings View Rd</t>
  </si>
  <si>
    <t>Paw Paw</t>
  </si>
  <si>
    <t>Gated community but large lots. River views.</t>
  </si>
  <si>
    <t>Secure; slightly restrictive HOA?</t>
  </si>
  <si>
    <t>12725 Winchester Grade Rd</t>
  </si>
  <si>
    <t>5.86 acres. Fixer/older home. Great price for land + shell.</t>
  </si>
  <si>
    <t>Paved road; easy commute</t>
  </si>
  <si>
    <t>369 Paso Fino Dr</t>
  </si>
  <si>
    <t>Horse property potential. 6+ acres.</t>
  </si>
  <si>
    <t>Rural neighborhood</t>
  </si>
  <si>
    <t>21165 State Road 55</t>
  </si>
  <si>
    <t>Right on Rt 55. High visibility. 5+ acres.</t>
  </si>
  <si>
    <t>Road noise; very accessible</t>
  </si>
  <si>
    <t>393 Timber Run Rd</t>
  </si>
  <si>
    <t>Affordable Mathias home. 5+ acres.</t>
  </si>
  <si>
    <t>Quiet valley; good hunting</t>
  </si>
  <si>
    <t>800 Cove Mountain Rd</t>
  </si>
  <si>
    <t>Mountain retreat. Under $300k.</t>
  </si>
  <si>
    <t>Steep terrain; scenic</t>
  </si>
  <si>
    <t>509 Alpine Way</t>
  </si>
  <si>
    <t>Mt Jackson</t>
  </si>
  <si>
    <t>Borders National Forest. Ideal recreation.</t>
  </si>
  <si>
    <t>I-81 traffic; steep driveway</t>
  </si>
  <si>
    <t>760 Buchanan Valley Rd</t>
  </si>
  <si>
    <t>Orrtanna</t>
  </si>
  <si>
    <t>Historic Adams County. Cabin on 5.5 acres.</t>
  </si>
  <si>
    <t>Winter access difficult; private</t>
  </si>
  <si>
    <t>115 Lake Seldom Seen</t>
  </si>
  <si>
    <t>Landisburg</t>
  </si>
  <si>
    <t>Lakefront. 5.3 acres. Unique find.</t>
  </si>
  <si>
    <t>Long drive; scenic water</t>
  </si>
  <si>
    <t>444 Nugget Dr</t>
  </si>
  <si>
    <t>Capon Bridge</t>
  </si>
  <si>
    <t>Rustic hunting camp. No utilities? Check listing.</t>
  </si>
  <si>
    <t>Very remote feel; fast drive</t>
  </si>
  <si>
    <t>154 Brooklyn Way</t>
  </si>
  <si>
    <t>Modern home. Wooded 5 acres.</t>
  </si>
  <si>
    <t>Gravel access; river nearby</t>
  </si>
  <si>
    <t>456 Flight O Arrows</t>
  </si>
  <si>
    <t>Martinsburg</t>
  </si>
  <si>
    <t>2019 build. 5.5 acres.</t>
  </si>
  <si>
    <t>Near neighbors; commuter spot</t>
  </si>
  <si>
    <t>193 Idris Lane</t>
  </si>
  <si>
    <t>Log cabin style. Rental history.</t>
  </si>
  <si>
    <t>Steep drive; vacation vibe</t>
  </si>
  <si>
    <t>24 Green Oak Ln</t>
  </si>
  <si>
    <t>Custom kitchen. 5 acres wooded.</t>
  </si>
  <si>
    <t>Private; well maintained</t>
  </si>
  <si>
    <t>1196 Van Clevesville</t>
  </si>
  <si>
    <t>Kearneysville</t>
  </si>
  <si>
    <t>Fixer upper farmette.</t>
  </si>
  <si>
    <t>Industrial noise nearby; cheap</t>
  </si>
  <si>
    <t>16 Sundance Retreat</t>
  </si>
  <si>
    <t>New Market</t>
  </si>
  <si>
    <t>Vacation home. 5 acres.</t>
  </si>
  <si>
    <t>Tourist area; weekend traffic</t>
  </si>
  <si>
    <t>36 Picard</t>
  </si>
  <si>
    <t>Basye</t>
  </si>
  <si>
    <t>Resort area home. Skiing nearby.</t>
  </si>
  <si>
    <t>HOA fees likely; resort traffic</t>
  </si>
  <si>
    <t>96 Sunfish Ct</t>
  </si>
  <si>
    <t>Davis</t>
  </si>
  <si>
    <t>High elevation. Cool summers.</t>
  </si>
  <si>
    <t>Long drive; heavy snow</t>
  </si>
  <si>
    <t>3587 Monarch Ln</t>
  </si>
  <si>
    <t>Midland</t>
  </si>
  <si>
    <t>Northern Fauquier! Rare price for 5 ac.</t>
  </si>
  <si>
    <t>Great commute; rare find</t>
  </si>
  <si>
    <t>8140 Courthouse Rd</t>
  </si>
  <si>
    <t>Spotsylvania</t>
  </si>
  <si>
    <t>Rancher on 5 acres. Clear land.</t>
  </si>
  <si>
    <t>Traffic on Courthouse Rd</t>
  </si>
  <si>
    <t>709 Howellsville Heights</t>
  </si>
  <si>
    <t>Front Royal</t>
  </si>
  <si>
    <t>River access nearby. 4.99 acres (count as 5).</t>
  </si>
  <si>
    <t>River flood risk?; scenic</t>
  </si>
  <si>
    <t>615 Middle Creek Rd</t>
  </si>
  <si>
    <t>Fairfield</t>
  </si>
  <si>
    <t>Border of MD/PA. ~5 acres.</t>
  </si>
  <si>
    <t>Quiet ag area</t>
  </si>
  <si>
    <t>102 Woodsboro Rd</t>
  </si>
  <si>
    <t>Woodsboro</t>
  </si>
  <si>
    <t>MD</t>
  </si>
  <si>
    <t>Flat usable land. MD commute.</t>
  </si>
  <si>
    <t>Higher taxes than WV/VA</t>
  </si>
  <si>
    <t>The Vance Farm</t>
  </si>
  <si>
    <t>Historic 1835 Federal home + 25 acres.</t>
  </si>
  <si>
    <t>Old home maintenance; historic</t>
  </si>
  <si>
    <t>509 Creekview Ln</t>
  </si>
  <si>
    <t>Auction property? Check status.</t>
  </si>
  <si>
    <t>Uncertain price; verify acres</t>
  </si>
  <si>
    <t>76 Crimson Oak Ln</t>
  </si>
  <si>
    <t>Just under 5 acres (4.91). Modern.</t>
  </si>
  <si>
    <t>Turnkey condition</t>
  </si>
  <si>
    <t>12261 Baugher Rd</t>
  </si>
  <si>
    <t>Thurmont</t>
  </si>
  <si>
    <t>4.3 acres (close to 5). Creek.</t>
  </si>
  <si>
    <t>Strict zoning?; convenient</t>
  </si>
  <si>
    <t>281 Misty Ln</t>
  </si>
  <si>
    <t>Shell</t>
  </si>
  <si>
    <t>Unfinished mansion/shell. 10 acres.</t>
  </si>
  <si>
    <t>Huge construction project</t>
  </si>
  <si>
    <t>308 Greenwoods Dr</t>
  </si>
  <si>
    <t>Wooded lot. Check exact acres (often 2-5).</t>
  </si>
  <si>
    <t>Good value if 5ac confirmed</t>
  </si>
  <si>
    <t>1345 Pauls Woods Rd</t>
  </si>
  <si>
    <t>Delray</t>
  </si>
  <si>
    <t>Secluded cabin area.</t>
  </si>
  <si>
    <t>Dirt roads</t>
  </si>
  <si>
    <t>3909 Coseytown Rd</t>
  </si>
  <si>
    <t>Greencastle</t>
  </si>
  <si>
    <t>Farmhouse style. Check acres (listed as farm).</t>
  </si>
  <si>
    <t>Agricultural area</t>
  </si>
  <si>
    <t>143 Cardinal Wind Dr</t>
  </si>
  <si>
    <t>5.07 acres in Front Royal. Hard to find.</t>
  </si>
  <si>
    <t>Great commute; rare acreage</t>
  </si>
  <si>
    <t>10968 Old Forge Rd</t>
  </si>
  <si>
    <t>Waynesboro</t>
  </si>
  <si>
    <t>Rural PA setting.</t>
  </si>
  <si>
    <t>Good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</si>
</sst>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2094-DC57-479F-9092-7196F6444548}">
  <dimension ref="A1:N51"/>
  <sheetViews>
    <sheetView tabSelected="1" workbookViewId="0">
      <selection sqref="A1:XFD1048576"/>
    </sheetView>
  </sheetViews>
  <sheetFormatPr defaultRowHeight="15" x14ac:dyDescent="0.25"/>
  <cols>
    <col min="1" max="1" width="26.5703125" bestFit="1" customWidth="1"/>
    <col min="2" max="2" width="15.85546875" bestFit="1" customWidth="1"/>
    <col min="3" max="3" width="5.5703125" bestFit="1" customWidth="1"/>
    <col min="4" max="4" width="9.28515625" bestFit="1" customWidth="1"/>
    <col min="5" max="5" width="6" bestFit="1" customWidth="1"/>
    <col min="6" max="6" width="6.5703125" bestFit="1" customWidth="1"/>
    <col min="7" max="7" width="5.85546875" bestFit="1" customWidth="1"/>
    <col min="8" max="8" width="71.85546875" bestFit="1" customWidth="1"/>
    <col min="9" max="9" width="8.28515625" bestFit="1" customWidth="1"/>
    <col min="10" max="10" width="9.85546875" bestFit="1" customWidth="1"/>
    <col min="11" max="11" width="13.85546875" bestFit="1" customWidth="1"/>
    <col min="12" max="12" width="40.42578125" bestFit="1" customWidth="1"/>
    <col min="13" max="13" width="9.7109375" bestFit="1" customWidth="1"/>
    <col min="14" max="14" width="1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350000</v>
      </c>
      <c r="E2">
        <v>9</v>
      </c>
      <c r="F2" t="s">
        <v>17</v>
      </c>
      <c r="G2">
        <v>99</v>
      </c>
      <c r="H2" t="s">
        <v>18</v>
      </c>
      <c r="I2">
        <v>38.86</v>
      </c>
      <c r="J2">
        <v>-78.44</v>
      </c>
      <c r="K2">
        <v>85</v>
      </c>
      <c r="L2" t="s">
        <v>19</v>
      </c>
      <c r="M2">
        <v>99</v>
      </c>
      <c r="N2" t="str">
        <f>HYPERLINK("https://www.google.com/search?q=100+Wolfs+Ln+Fort+Valley+VA+Redfin","View Listing")</f>
        <v>View Listing</v>
      </c>
    </row>
    <row r="3" spans="1:14" x14ac:dyDescent="0.25">
      <c r="A3" t="s">
        <v>20</v>
      </c>
      <c r="B3" t="s">
        <v>21</v>
      </c>
      <c r="C3" t="s">
        <v>22</v>
      </c>
      <c r="D3" s="1">
        <v>475000</v>
      </c>
      <c r="E3">
        <v>44.37</v>
      </c>
      <c r="F3" t="s">
        <v>17</v>
      </c>
      <c r="G3">
        <v>98</v>
      </c>
      <c r="H3" t="s">
        <v>23</v>
      </c>
      <c r="I3">
        <v>39.29</v>
      </c>
      <c r="J3">
        <v>-78.63</v>
      </c>
      <c r="K3">
        <v>105</v>
      </c>
      <c r="L3" t="s">
        <v>24</v>
      </c>
      <c r="M3">
        <v>98</v>
      </c>
      <c r="N3" t="str">
        <f>HYPERLINK("https://www.google.com/search?q=2445+Bear+Wallow+Hollow+Rd+Augusta+WV+Redfin","View Listing")</f>
        <v>View Listing</v>
      </c>
    </row>
    <row r="4" spans="1:14" x14ac:dyDescent="0.25">
      <c r="A4" t="s">
        <v>25</v>
      </c>
      <c r="B4" t="s">
        <v>26</v>
      </c>
      <c r="C4" t="s">
        <v>27</v>
      </c>
      <c r="D4" s="1">
        <v>349000</v>
      </c>
      <c r="E4">
        <v>39.65</v>
      </c>
      <c r="F4" t="s">
        <v>17</v>
      </c>
      <c r="G4">
        <v>98</v>
      </c>
      <c r="H4" t="s">
        <v>28</v>
      </c>
      <c r="I4">
        <v>39.93</v>
      </c>
      <c r="J4">
        <v>-78</v>
      </c>
      <c r="K4">
        <v>105</v>
      </c>
      <c r="L4" t="s">
        <v>29</v>
      </c>
      <c r="M4">
        <v>98</v>
      </c>
      <c r="N4" t="str">
        <f>HYPERLINK("https://www.google.com/search?q=3014+Peach+Orchard+Rd+McConnellsburg+PA+Redfin","View Listing")</f>
        <v>View Listing</v>
      </c>
    </row>
    <row r="5" spans="1:14" x14ac:dyDescent="0.25">
      <c r="A5" t="s">
        <v>30</v>
      </c>
      <c r="B5" t="s">
        <v>31</v>
      </c>
      <c r="C5" t="s">
        <v>22</v>
      </c>
      <c r="D5" s="1">
        <v>459000</v>
      </c>
      <c r="E5">
        <v>6</v>
      </c>
      <c r="F5" t="s">
        <v>17</v>
      </c>
      <c r="G5">
        <v>97</v>
      </c>
      <c r="H5" t="s">
        <v>32</v>
      </c>
      <c r="I5">
        <v>39.619999999999997</v>
      </c>
      <c r="J5">
        <v>-78.22</v>
      </c>
      <c r="K5">
        <v>98</v>
      </c>
      <c r="L5" t="s">
        <v>33</v>
      </c>
      <c r="M5">
        <v>97</v>
      </c>
      <c r="N5" t="str">
        <f>HYPERLINK("https://www.google.com/search?q=1920+Sir+Johns+Run+Rd+Berkeley+Springs+WV+Redfin","View Listing")</f>
        <v>View Listing</v>
      </c>
    </row>
    <row r="6" spans="1:14" x14ac:dyDescent="0.25">
      <c r="A6" t="s">
        <v>34</v>
      </c>
      <c r="B6" t="s">
        <v>35</v>
      </c>
      <c r="C6" t="s">
        <v>27</v>
      </c>
      <c r="D6" s="1">
        <v>384900</v>
      </c>
      <c r="E6">
        <v>11.58</v>
      </c>
      <c r="F6" t="s">
        <v>17</v>
      </c>
      <c r="G6">
        <v>97</v>
      </c>
      <c r="H6" t="s">
        <v>36</v>
      </c>
      <c r="I6">
        <v>39.880000000000003</v>
      </c>
      <c r="J6">
        <v>-78.12</v>
      </c>
      <c r="K6">
        <v>100</v>
      </c>
      <c r="L6" t="s">
        <v>37</v>
      </c>
      <c r="M6">
        <v>97</v>
      </c>
      <c r="N6" t="str">
        <f>HYPERLINK("https://www.google.com/search?q=2160+Black+Bear+Rd+Needmore+PA+Redfin","View Listing")</f>
        <v>View Listing</v>
      </c>
    </row>
    <row r="7" spans="1:14" x14ac:dyDescent="0.25">
      <c r="A7" t="s">
        <v>38</v>
      </c>
      <c r="B7" t="s">
        <v>39</v>
      </c>
      <c r="C7" t="s">
        <v>16</v>
      </c>
      <c r="D7" s="1">
        <v>439000</v>
      </c>
      <c r="E7">
        <v>117</v>
      </c>
      <c r="F7" t="s">
        <v>40</v>
      </c>
      <c r="G7">
        <v>97</v>
      </c>
      <c r="H7" t="s">
        <v>41</v>
      </c>
      <c r="I7">
        <v>38.75</v>
      </c>
      <c r="J7">
        <v>-78.95</v>
      </c>
      <c r="K7">
        <v>130</v>
      </c>
      <c r="L7" t="s">
        <v>42</v>
      </c>
      <c r="M7">
        <v>97</v>
      </c>
      <c r="N7" t="str">
        <f>HYPERLINK("https://www.google.com/search?q=22606+German+River+Rd+Criders+VA+Redfin","View Listing")</f>
        <v>View Listing</v>
      </c>
    </row>
    <row r="8" spans="1:14" x14ac:dyDescent="0.25">
      <c r="A8" t="s">
        <v>43</v>
      </c>
      <c r="B8" t="s">
        <v>44</v>
      </c>
      <c r="C8" t="s">
        <v>22</v>
      </c>
      <c r="D8" s="1">
        <v>479900</v>
      </c>
      <c r="E8">
        <v>18.149999999999999</v>
      </c>
      <c r="F8" t="s">
        <v>17</v>
      </c>
      <c r="G8">
        <v>96</v>
      </c>
      <c r="H8" t="s">
        <v>45</v>
      </c>
      <c r="I8">
        <v>39.06</v>
      </c>
      <c r="J8">
        <v>-79</v>
      </c>
      <c r="K8">
        <v>125</v>
      </c>
      <c r="L8" t="s">
        <v>46</v>
      </c>
      <c r="M8">
        <v>96</v>
      </c>
      <c r="N8" t="str">
        <f>HYPERLINK("https://www.google.com/search?q=5268+Hutter+Rd+Fisher+WV+Redfin","View Listing")</f>
        <v>View Listing</v>
      </c>
    </row>
    <row r="9" spans="1:14" x14ac:dyDescent="0.25">
      <c r="A9" t="s">
        <v>47</v>
      </c>
      <c r="B9" t="s">
        <v>48</v>
      </c>
      <c r="C9" t="s">
        <v>22</v>
      </c>
      <c r="D9" s="1">
        <v>449900</v>
      </c>
      <c r="E9">
        <v>19.29</v>
      </c>
      <c r="F9" t="s">
        <v>17</v>
      </c>
      <c r="G9">
        <v>96</v>
      </c>
      <c r="H9" t="s">
        <v>49</v>
      </c>
      <c r="I9">
        <v>39.08</v>
      </c>
      <c r="J9">
        <v>-78.599999999999994</v>
      </c>
      <c r="K9">
        <v>90</v>
      </c>
      <c r="L9" t="s">
        <v>50</v>
      </c>
      <c r="M9">
        <v>96</v>
      </c>
      <c r="N9" t="str">
        <f>HYPERLINK("https://www.google.com/search?q=3387+State+Road+259+Wardensville+WV+Redfin","View Listing")</f>
        <v>View Listing</v>
      </c>
    </row>
    <row r="10" spans="1:14" x14ac:dyDescent="0.25">
      <c r="A10" t="s">
        <v>51</v>
      </c>
      <c r="B10" t="s">
        <v>52</v>
      </c>
      <c r="C10" t="s">
        <v>16</v>
      </c>
      <c r="D10" s="1">
        <v>327750</v>
      </c>
      <c r="E10">
        <v>40.200000000000003</v>
      </c>
      <c r="F10" t="s">
        <v>40</v>
      </c>
      <c r="G10">
        <v>96</v>
      </c>
      <c r="H10" t="s">
        <v>53</v>
      </c>
      <c r="I10">
        <v>39.31</v>
      </c>
      <c r="J10">
        <v>-78.28</v>
      </c>
      <c r="K10">
        <v>85</v>
      </c>
      <c r="L10" t="s">
        <v>54</v>
      </c>
      <c r="M10">
        <v>96</v>
      </c>
      <c r="N10" t="str">
        <f>HYPERLINK("https://www.google.com/search?q=Easter+Ridge+Ln+Winchester+VA+Redfin","View Listing")</f>
        <v>View Listing</v>
      </c>
    </row>
    <row r="11" spans="1:14" x14ac:dyDescent="0.25">
      <c r="A11" t="s">
        <v>55</v>
      </c>
      <c r="B11" t="s">
        <v>21</v>
      </c>
      <c r="C11" t="s">
        <v>22</v>
      </c>
      <c r="D11" s="1">
        <v>285000</v>
      </c>
      <c r="E11">
        <v>10.17</v>
      </c>
      <c r="F11" t="s">
        <v>17</v>
      </c>
      <c r="G11">
        <v>95</v>
      </c>
      <c r="H11" t="s">
        <v>56</v>
      </c>
      <c r="I11">
        <v>39.29</v>
      </c>
      <c r="J11">
        <v>-78.64</v>
      </c>
      <c r="K11">
        <v>105</v>
      </c>
      <c r="L11" t="s">
        <v>57</v>
      </c>
      <c r="M11">
        <v>95</v>
      </c>
      <c r="N11" t="str">
        <f>HYPERLINK("https://www.google.com/search?q=1060+Buffalo+Ridge+Rd+Augusta+WV+Redfin","View Listing")</f>
        <v>View Listing</v>
      </c>
    </row>
    <row r="12" spans="1:14" x14ac:dyDescent="0.25">
      <c r="A12" t="s">
        <v>58</v>
      </c>
      <c r="B12" t="s">
        <v>59</v>
      </c>
      <c r="C12" t="s">
        <v>22</v>
      </c>
      <c r="D12" s="1">
        <v>475000</v>
      </c>
      <c r="E12">
        <v>10.9</v>
      </c>
      <c r="F12" t="s">
        <v>17</v>
      </c>
      <c r="G12">
        <v>95</v>
      </c>
      <c r="H12" t="s">
        <v>60</v>
      </c>
      <c r="I12">
        <v>39.340000000000003</v>
      </c>
      <c r="J12">
        <v>-78.75</v>
      </c>
      <c r="K12">
        <v>110</v>
      </c>
      <c r="L12" t="s">
        <v>61</v>
      </c>
      <c r="M12">
        <v>95</v>
      </c>
      <c r="N12" t="str">
        <f>HYPERLINK("https://www.google.com/search?q=45+Cougar+Hollow+Rd+Romney+WV+Redfin","View Listing")</f>
        <v>View Listing</v>
      </c>
    </row>
    <row r="13" spans="1:14" x14ac:dyDescent="0.25">
      <c r="A13" t="s">
        <v>62</v>
      </c>
      <c r="B13" t="s">
        <v>21</v>
      </c>
      <c r="C13" t="s">
        <v>22</v>
      </c>
      <c r="D13" s="1">
        <v>285000</v>
      </c>
      <c r="E13">
        <v>11.47</v>
      </c>
      <c r="F13" t="s">
        <v>17</v>
      </c>
      <c r="G13">
        <v>95</v>
      </c>
      <c r="H13" t="s">
        <v>63</v>
      </c>
      <c r="I13">
        <v>39.299999999999997</v>
      </c>
      <c r="J13">
        <v>-78.599999999999994</v>
      </c>
      <c r="K13">
        <v>100</v>
      </c>
      <c r="L13" t="s">
        <v>64</v>
      </c>
      <c r="M13">
        <v>95</v>
      </c>
      <c r="N13" t="str">
        <f>HYPERLINK("https://www.google.com/search?q=239+Car+Wash+Ln+Augusta+WV+Redfin","View Listing")</f>
        <v>View Listing</v>
      </c>
    </row>
    <row r="14" spans="1:14" x14ac:dyDescent="0.25">
      <c r="A14" t="s">
        <v>65</v>
      </c>
      <c r="B14" t="s">
        <v>52</v>
      </c>
      <c r="C14" t="s">
        <v>16</v>
      </c>
      <c r="D14" s="1">
        <v>499000</v>
      </c>
      <c r="E14">
        <v>5</v>
      </c>
      <c r="F14" t="s">
        <v>17</v>
      </c>
      <c r="G14">
        <v>94</v>
      </c>
      <c r="H14" t="s">
        <v>66</v>
      </c>
      <c r="I14">
        <v>39.15</v>
      </c>
      <c r="J14">
        <v>-78.25</v>
      </c>
      <c r="K14">
        <v>80</v>
      </c>
      <c r="L14" t="s">
        <v>67</v>
      </c>
      <c r="M14">
        <v>94</v>
      </c>
      <c r="N14" t="str">
        <f>HYPERLINK("https://www.google.com/search?q=3782+Wardensville+Grade+Winchester+VA+Redfin","View Listing")</f>
        <v>View Listing</v>
      </c>
    </row>
    <row r="15" spans="1:14" x14ac:dyDescent="0.25">
      <c r="A15" t="s">
        <v>68</v>
      </c>
      <c r="B15" t="s">
        <v>69</v>
      </c>
      <c r="C15" t="s">
        <v>22</v>
      </c>
      <c r="D15" s="1">
        <v>399900</v>
      </c>
      <c r="E15">
        <v>7</v>
      </c>
      <c r="F15" t="s">
        <v>17</v>
      </c>
      <c r="G15">
        <v>94</v>
      </c>
      <c r="H15" t="s">
        <v>70</v>
      </c>
      <c r="I15">
        <v>39.18</v>
      </c>
      <c r="J15">
        <v>-78.5</v>
      </c>
      <c r="K15">
        <v>95</v>
      </c>
      <c r="L15" t="s">
        <v>71</v>
      </c>
      <c r="M15">
        <v>94</v>
      </c>
      <c r="N15" t="str">
        <f>HYPERLINK("https://www.google.com/search?q=9987+Capon+River+Rd+Yellow+Spring+WV+Redfin","View Listing")</f>
        <v>View Listing</v>
      </c>
    </row>
    <row r="16" spans="1:14" x14ac:dyDescent="0.25">
      <c r="A16" t="s">
        <v>72</v>
      </c>
      <c r="B16" t="s">
        <v>21</v>
      </c>
      <c r="C16" t="s">
        <v>22</v>
      </c>
      <c r="D16" s="1">
        <v>234900</v>
      </c>
      <c r="E16">
        <v>7.8</v>
      </c>
      <c r="F16" t="s">
        <v>17</v>
      </c>
      <c r="G16">
        <v>94</v>
      </c>
      <c r="H16" t="s">
        <v>73</v>
      </c>
      <c r="I16">
        <v>39.29</v>
      </c>
      <c r="J16">
        <v>-78.599999999999994</v>
      </c>
      <c r="K16">
        <v>102</v>
      </c>
      <c r="L16" t="s">
        <v>74</v>
      </c>
      <c r="M16">
        <v>94</v>
      </c>
      <c r="N16" t="str">
        <f>HYPERLINK("https://www.google.com/search?q=886+Mountain+Heritage+Estates+Rd+Augusta+WV+Redfin","View Listing")</f>
        <v>View Listing</v>
      </c>
    </row>
    <row r="17" spans="1:14" x14ac:dyDescent="0.25">
      <c r="A17" t="s">
        <v>75</v>
      </c>
      <c r="B17" t="s">
        <v>76</v>
      </c>
      <c r="C17" t="s">
        <v>22</v>
      </c>
      <c r="D17" s="1">
        <v>415000</v>
      </c>
      <c r="E17">
        <v>6.35</v>
      </c>
      <c r="F17" t="s">
        <v>17</v>
      </c>
      <c r="G17">
        <v>94</v>
      </c>
      <c r="H17" t="s">
        <v>77</v>
      </c>
      <c r="I17">
        <v>38.880000000000003</v>
      </c>
      <c r="J17">
        <v>-78.849999999999994</v>
      </c>
      <c r="K17">
        <v>115</v>
      </c>
      <c r="L17" t="s">
        <v>78</v>
      </c>
      <c r="M17">
        <v>94</v>
      </c>
      <c r="N17" t="str">
        <f>HYPERLINK("https://www.google.com/search?q=30+Woodman+Dr+Mathias+WV+Redfin","View Listing")</f>
        <v>View Listing</v>
      </c>
    </row>
    <row r="18" spans="1:14" x14ac:dyDescent="0.25">
      <c r="A18" t="s">
        <v>79</v>
      </c>
      <c r="B18" t="s">
        <v>80</v>
      </c>
      <c r="C18" t="s">
        <v>22</v>
      </c>
      <c r="D18" s="1">
        <v>310000</v>
      </c>
      <c r="E18">
        <v>5.6</v>
      </c>
      <c r="F18" t="s">
        <v>17</v>
      </c>
      <c r="G18">
        <v>93</v>
      </c>
      <c r="H18" t="s">
        <v>81</v>
      </c>
      <c r="I18">
        <v>39.61</v>
      </c>
      <c r="J18">
        <v>-78.290000000000006</v>
      </c>
      <c r="K18">
        <v>105</v>
      </c>
      <c r="L18" t="s">
        <v>82</v>
      </c>
      <c r="M18">
        <v>93</v>
      </c>
      <c r="N18" t="str">
        <f>HYPERLINK("https://www.google.com/search?q=168+Pioneer+Trl+Great+Cacapon+WV+Redfin","View Listing")</f>
        <v>View Listing</v>
      </c>
    </row>
    <row r="19" spans="1:14" x14ac:dyDescent="0.25">
      <c r="A19" t="s">
        <v>83</v>
      </c>
      <c r="B19" t="s">
        <v>84</v>
      </c>
      <c r="C19" t="s">
        <v>22</v>
      </c>
      <c r="D19" s="1">
        <v>499900</v>
      </c>
      <c r="E19">
        <v>6.54</v>
      </c>
      <c r="F19" t="s">
        <v>17</v>
      </c>
      <c r="G19">
        <v>93</v>
      </c>
      <c r="H19" t="s">
        <v>85</v>
      </c>
      <c r="I19">
        <v>39.53</v>
      </c>
      <c r="J19">
        <v>-78.45</v>
      </c>
      <c r="K19">
        <v>115</v>
      </c>
      <c r="L19" t="s">
        <v>86</v>
      </c>
      <c r="M19">
        <v>93</v>
      </c>
      <c r="N19" t="str">
        <f>HYPERLINK("https://www.google.com/search?q=211+Crossings+View+Rd+Paw+Paw+WV+Redfin","View Listing")</f>
        <v>View Listing</v>
      </c>
    </row>
    <row r="20" spans="1:14" x14ac:dyDescent="0.25">
      <c r="A20" t="s">
        <v>87</v>
      </c>
      <c r="B20" t="s">
        <v>31</v>
      </c>
      <c r="C20" t="s">
        <v>22</v>
      </c>
      <c r="D20" s="1">
        <v>275000</v>
      </c>
      <c r="E20">
        <v>5.86</v>
      </c>
      <c r="F20" t="s">
        <v>17</v>
      </c>
      <c r="G20">
        <v>93</v>
      </c>
      <c r="H20" t="s">
        <v>88</v>
      </c>
      <c r="I20">
        <v>39.549999999999997</v>
      </c>
      <c r="J20">
        <v>-78.2</v>
      </c>
      <c r="K20">
        <v>95</v>
      </c>
      <c r="L20" t="s">
        <v>89</v>
      </c>
      <c r="M20">
        <v>93</v>
      </c>
      <c r="N20" t="str">
        <f>HYPERLINK("https://www.google.com/search?q=12725+Winchester+Grade+Rd+Berkeley+Springs+WV+Redfin","View Listing")</f>
        <v>View Listing</v>
      </c>
    </row>
    <row r="21" spans="1:14" x14ac:dyDescent="0.25">
      <c r="A21" t="s">
        <v>90</v>
      </c>
      <c r="B21" t="s">
        <v>21</v>
      </c>
      <c r="C21" t="s">
        <v>22</v>
      </c>
      <c r="D21" s="1">
        <v>335000</v>
      </c>
      <c r="E21">
        <v>6.28</v>
      </c>
      <c r="F21" t="s">
        <v>17</v>
      </c>
      <c r="G21">
        <v>93</v>
      </c>
      <c r="H21" t="s">
        <v>91</v>
      </c>
      <c r="I21">
        <v>39.299999999999997</v>
      </c>
      <c r="J21">
        <v>-78.650000000000006</v>
      </c>
      <c r="K21">
        <v>103</v>
      </c>
      <c r="L21" t="s">
        <v>92</v>
      </c>
      <c r="M21">
        <v>93</v>
      </c>
      <c r="N21" t="str">
        <f>HYPERLINK("https://www.google.com/search?q=369+Paso+Fino+Dr+Augusta+WV+Redfin","View Listing")</f>
        <v>View Listing</v>
      </c>
    </row>
    <row r="22" spans="1:14" x14ac:dyDescent="0.25">
      <c r="A22" t="s">
        <v>93</v>
      </c>
      <c r="B22" t="s">
        <v>48</v>
      </c>
      <c r="C22" t="s">
        <v>22</v>
      </c>
      <c r="D22" s="1">
        <v>499000</v>
      </c>
      <c r="E22">
        <v>5.36</v>
      </c>
      <c r="F22" t="s">
        <v>17</v>
      </c>
      <c r="G22">
        <v>92</v>
      </c>
      <c r="H22" t="s">
        <v>94</v>
      </c>
      <c r="I22">
        <v>39.08</v>
      </c>
      <c r="J22">
        <v>-78.58</v>
      </c>
      <c r="K22">
        <v>88</v>
      </c>
      <c r="L22" t="s">
        <v>95</v>
      </c>
      <c r="M22">
        <v>92</v>
      </c>
      <c r="N22" t="str">
        <f>HYPERLINK("https://www.google.com/search?q=21165+State+Road+55+Wardensville+WV+Redfin","View Listing")</f>
        <v>View Listing</v>
      </c>
    </row>
    <row r="23" spans="1:14" x14ac:dyDescent="0.25">
      <c r="A23" t="s">
        <v>96</v>
      </c>
      <c r="B23" t="s">
        <v>76</v>
      </c>
      <c r="C23" t="s">
        <v>22</v>
      </c>
      <c r="D23" s="1">
        <v>325000</v>
      </c>
      <c r="E23">
        <v>5.26</v>
      </c>
      <c r="F23" t="s">
        <v>17</v>
      </c>
      <c r="G23">
        <v>92</v>
      </c>
      <c r="H23" t="s">
        <v>97</v>
      </c>
      <c r="I23">
        <v>38.9</v>
      </c>
      <c r="J23">
        <v>-78.88</v>
      </c>
      <c r="K23">
        <v>110</v>
      </c>
      <c r="L23" t="s">
        <v>98</v>
      </c>
      <c r="M23">
        <v>92</v>
      </c>
      <c r="N23" t="str">
        <f>HYPERLINK("https://www.google.com/search?q=393+Timber+Run+Rd+Mathias+WV+Redfin","View Listing")</f>
        <v>View Listing</v>
      </c>
    </row>
    <row r="24" spans="1:14" x14ac:dyDescent="0.25">
      <c r="A24" t="s">
        <v>99</v>
      </c>
      <c r="B24" t="s">
        <v>76</v>
      </c>
      <c r="C24" t="s">
        <v>22</v>
      </c>
      <c r="D24" s="1">
        <v>275000</v>
      </c>
      <c r="E24">
        <v>5.84</v>
      </c>
      <c r="F24" t="s">
        <v>17</v>
      </c>
      <c r="G24">
        <v>92</v>
      </c>
      <c r="H24" t="s">
        <v>100</v>
      </c>
      <c r="I24">
        <v>38.85</v>
      </c>
      <c r="J24">
        <v>-78.900000000000006</v>
      </c>
      <c r="K24">
        <v>115</v>
      </c>
      <c r="L24" t="s">
        <v>101</v>
      </c>
      <c r="M24">
        <v>92</v>
      </c>
      <c r="N24" t="str">
        <f>HYPERLINK("https://www.google.com/search?q=800+Cove+Mountain+Rd+Mathias+WV+Redfin","View Listing")</f>
        <v>View Listing</v>
      </c>
    </row>
    <row r="25" spans="1:14" x14ac:dyDescent="0.25">
      <c r="A25" t="s">
        <v>102</v>
      </c>
      <c r="B25" t="s">
        <v>103</v>
      </c>
      <c r="C25" t="s">
        <v>16</v>
      </c>
      <c r="D25" s="1">
        <v>389000</v>
      </c>
      <c r="E25">
        <v>5.2</v>
      </c>
      <c r="F25" t="s">
        <v>40</v>
      </c>
      <c r="G25">
        <v>92</v>
      </c>
      <c r="H25" t="s">
        <v>104</v>
      </c>
      <c r="I25">
        <v>38.74</v>
      </c>
      <c r="J25">
        <v>-78.64</v>
      </c>
      <c r="K25">
        <v>95</v>
      </c>
      <c r="L25" t="s">
        <v>105</v>
      </c>
      <c r="M25">
        <v>92</v>
      </c>
      <c r="N25" t="str">
        <f>HYPERLINK("https://www.google.com/search?q=509+Alpine+Way+Mount+Jackson+VA+Redfin","View Listing")</f>
        <v>View Listing</v>
      </c>
    </row>
    <row r="26" spans="1:14" x14ac:dyDescent="0.25">
      <c r="A26" t="s">
        <v>106</v>
      </c>
      <c r="B26" t="s">
        <v>107</v>
      </c>
      <c r="C26" t="s">
        <v>27</v>
      </c>
      <c r="D26" s="1">
        <v>229000</v>
      </c>
      <c r="E26">
        <v>5.5</v>
      </c>
      <c r="F26" t="s">
        <v>40</v>
      </c>
      <c r="G26">
        <v>92</v>
      </c>
      <c r="H26" t="s">
        <v>108</v>
      </c>
      <c r="I26">
        <v>39.92</v>
      </c>
      <c r="J26">
        <v>-77.38</v>
      </c>
      <c r="K26">
        <v>80</v>
      </c>
      <c r="L26" t="s">
        <v>109</v>
      </c>
      <c r="M26">
        <v>92</v>
      </c>
      <c r="N26" t="str">
        <f>HYPERLINK("https://www.google.com/search?q=760+Buchanan+Valley+Rd+Orrtanna+PA+Redfin","View Listing")</f>
        <v>View Listing</v>
      </c>
    </row>
    <row r="27" spans="1:14" x14ac:dyDescent="0.25">
      <c r="A27" t="s">
        <v>110</v>
      </c>
      <c r="B27" t="s">
        <v>111</v>
      </c>
      <c r="C27" t="s">
        <v>27</v>
      </c>
      <c r="D27" s="1">
        <v>499000</v>
      </c>
      <c r="E27">
        <v>5.3</v>
      </c>
      <c r="F27" t="s">
        <v>17</v>
      </c>
      <c r="G27">
        <v>91</v>
      </c>
      <c r="H27" t="s">
        <v>112</v>
      </c>
      <c r="I27">
        <v>40.33</v>
      </c>
      <c r="J27">
        <v>-77.41</v>
      </c>
      <c r="K27">
        <v>135</v>
      </c>
      <c r="L27" t="s">
        <v>113</v>
      </c>
      <c r="M27">
        <v>91</v>
      </c>
      <c r="N27" t="str">
        <f>HYPERLINK("https://www.google.com/search?q=115+Lake+Seldom+Seen+Landisburg+PA+Redfin","View Listing")</f>
        <v>View Listing</v>
      </c>
    </row>
    <row r="28" spans="1:14" x14ac:dyDescent="0.25">
      <c r="A28" t="s">
        <v>114</v>
      </c>
      <c r="B28" t="s">
        <v>115</v>
      </c>
      <c r="C28" t="s">
        <v>22</v>
      </c>
      <c r="D28" s="1">
        <v>220000</v>
      </c>
      <c r="E28">
        <v>5</v>
      </c>
      <c r="F28" t="s">
        <v>40</v>
      </c>
      <c r="G28">
        <v>91</v>
      </c>
      <c r="H28" t="s">
        <v>116</v>
      </c>
      <c r="I28">
        <v>39.299999999999997</v>
      </c>
      <c r="J28">
        <v>-78.45</v>
      </c>
      <c r="K28">
        <v>82</v>
      </c>
      <c r="L28" t="s">
        <v>117</v>
      </c>
      <c r="M28">
        <v>91</v>
      </c>
      <c r="N28" t="str">
        <f>HYPERLINK("https://www.google.com/search?q=444+Nugget+Dr+Capon+Bridge+WV+Redfin","View Listing")</f>
        <v>View Listing</v>
      </c>
    </row>
    <row r="29" spans="1:14" x14ac:dyDescent="0.25">
      <c r="A29" t="s">
        <v>118</v>
      </c>
      <c r="B29" t="s">
        <v>80</v>
      </c>
      <c r="C29" t="s">
        <v>22</v>
      </c>
      <c r="D29" s="1">
        <v>465000</v>
      </c>
      <c r="E29">
        <v>5</v>
      </c>
      <c r="F29" t="s">
        <v>17</v>
      </c>
      <c r="G29">
        <v>91</v>
      </c>
      <c r="H29" t="s">
        <v>119</v>
      </c>
      <c r="I29">
        <v>39.61</v>
      </c>
      <c r="J29">
        <v>-78.28</v>
      </c>
      <c r="K29">
        <v>102</v>
      </c>
      <c r="L29" t="s">
        <v>120</v>
      </c>
      <c r="M29">
        <v>91</v>
      </c>
      <c r="N29" t="str">
        <f>HYPERLINK("https://www.google.com/search?q=154+Brooklyn+Way+Great+Cacapon+WV+Redfin","View Listing")</f>
        <v>View Listing</v>
      </c>
    </row>
    <row r="30" spans="1:14" x14ac:dyDescent="0.25">
      <c r="A30" t="s">
        <v>121</v>
      </c>
      <c r="B30" t="s">
        <v>122</v>
      </c>
      <c r="C30" t="s">
        <v>22</v>
      </c>
      <c r="D30" s="1">
        <v>485000</v>
      </c>
      <c r="E30">
        <v>5.5</v>
      </c>
      <c r="F30" t="s">
        <v>17</v>
      </c>
      <c r="G30">
        <v>90</v>
      </c>
      <c r="H30" t="s">
        <v>123</v>
      </c>
      <c r="I30">
        <v>39.46</v>
      </c>
      <c r="J30">
        <v>-77.959999999999994</v>
      </c>
      <c r="K30">
        <v>75</v>
      </c>
      <c r="L30" t="s">
        <v>124</v>
      </c>
      <c r="M30">
        <v>90</v>
      </c>
      <c r="N30" t="str">
        <f>HYPERLINK("https://www.google.com/search?q=456+Flight+O+Arrows+Martinsburg+WV+Redfin","View Listing")</f>
        <v>View Listing</v>
      </c>
    </row>
    <row r="31" spans="1:14" x14ac:dyDescent="0.25">
      <c r="A31" t="s">
        <v>125</v>
      </c>
      <c r="B31" t="s">
        <v>31</v>
      </c>
      <c r="C31" t="s">
        <v>22</v>
      </c>
      <c r="D31" s="1">
        <v>399000</v>
      </c>
      <c r="E31">
        <v>5.5</v>
      </c>
      <c r="F31" t="s">
        <v>40</v>
      </c>
      <c r="G31">
        <v>90</v>
      </c>
      <c r="H31" t="s">
        <v>126</v>
      </c>
      <c r="I31">
        <v>39.619999999999997</v>
      </c>
      <c r="J31">
        <v>-78.22</v>
      </c>
      <c r="K31">
        <v>105</v>
      </c>
      <c r="L31" t="s">
        <v>127</v>
      </c>
      <c r="M31">
        <v>90</v>
      </c>
      <c r="N31" t="str">
        <f>HYPERLINK("https://www.google.com/search?q=193+Idris+Lane+Berkeley+Springs+WV+Redfin","View Listing")</f>
        <v>View Listing</v>
      </c>
    </row>
    <row r="32" spans="1:14" x14ac:dyDescent="0.25">
      <c r="A32" t="s">
        <v>128</v>
      </c>
      <c r="B32" t="s">
        <v>31</v>
      </c>
      <c r="C32" t="s">
        <v>22</v>
      </c>
      <c r="D32" s="1">
        <v>415000</v>
      </c>
      <c r="E32">
        <v>5</v>
      </c>
      <c r="F32" t="s">
        <v>17</v>
      </c>
      <c r="G32">
        <v>90</v>
      </c>
      <c r="H32" t="s">
        <v>129</v>
      </c>
      <c r="I32">
        <v>39.619999999999997</v>
      </c>
      <c r="J32">
        <v>-78.22</v>
      </c>
      <c r="K32">
        <v>98</v>
      </c>
      <c r="L32" t="s">
        <v>130</v>
      </c>
      <c r="M32">
        <v>90</v>
      </c>
      <c r="N32" t="str">
        <f>HYPERLINK("https://www.google.com/search?q=24+Green+Oak+Ln+Berkeley+Springs+WV+Redfin","View Listing")</f>
        <v>View Listing</v>
      </c>
    </row>
    <row r="33" spans="1:14" x14ac:dyDescent="0.25">
      <c r="A33" t="s">
        <v>131</v>
      </c>
      <c r="B33" t="s">
        <v>132</v>
      </c>
      <c r="C33" t="s">
        <v>22</v>
      </c>
      <c r="D33" s="1">
        <v>299900</v>
      </c>
      <c r="E33">
        <v>5</v>
      </c>
      <c r="F33" t="s">
        <v>17</v>
      </c>
      <c r="G33">
        <v>90</v>
      </c>
      <c r="H33" t="s">
        <v>133</v>
      </c>
      <c r="I33">
        <v>39.380000000000003</v>
      </c>
      <c r="J33">
        <v>-77.91</v>
      </c>
      <c r="K33">
        <v>65</v>
      </c>
      <c r="L33" t="s">
        <v>134</v>
      </c>
      <c r="M33">
        <v>90</v>
      </c>
      <c r="N33" t="str">
        <f>HYPERLINK("https://www.google.com/search?q=1196+Van+Clevesville+Road+Kearneysville+WV+Redfin","View Listing")</f>
        <v>View Listing</v>
      </c>
    </row>
    <row r="34" spans="1:14" x14ac:dyDescent="0.25">
      <c r="A34" t="s">
        <v>135</v>
      </c>
      <c r="B34" t="s">
        <v>136</v>
      </c>
      <c r="C34" t="s">
        <v>16</v>
      </c>
      <c r="D34" s="1">
        <v>270000</v>
      </c>
      <c r="E34">
        <v>5</v>
      </c>
      <c r="F34" t="s">
        <v>17</v>
      </c>
      <c r="G34">
        <v>89</v>
      </c>
      <c r="H34" t="s">
        <v>137</v>
      </c>
      <c r="I34">
        <v>38.65</v>
      </c>
      <c r="J34">
        <v>-78.67</v>
      </c>
      <c r="K34">
        <v>102</v>
      </c>
      <c r="L34" t="s">
        <v>138</v>
      </c>
      <c r="M34">
        <v>89</v>
      </c>
      <c r="N34" t="str">
        <f>HYPERLINK("https://www.google.com/search?q=16+Sundance+Retreat+New+Market+VA+Redfin","View Listing")</f>
        <v>View Listing</v>
      </c>
    </row>
    <row r="35" spans="1:14" x14ac:dyDescent="0.25">
      <c r="A35" t="s">
        <v>139</v>
      </c>
      <c r="B35" t="s">
        <v>140</v>
      </c>
      <c r="C35" t="s">
        <v>16</v>
      </c>
      <c r="D35" s="1">
        <v>499000</v>
      </c>
      <c r="E35">
        <v>5</v>
      </c>
      <c r="F35" t="s">
        <v>17</v>
      </c>
      <c r="G35">
        <v>89</v>
      </c>
      <c r="H35" t="s">
        <v>141</v>
      </c>
      <c r="I35">
        <v>38.81</v>
      </c>
      <c r="J35">
        <v>-78.680000000000007</v>
      </c>
      <c r="K35">
        <v>105</v>
      </c>
      <c r="L35" t="s">
        <v>142</v>
      </c>
      <c r="M35">
        <v>89</v>
      </c>
      <c r="N35" t="str">
        <f>HYPERLINK("https://www.google.com/search?q=36+Picard+Basye+VA+Redfin","View Listing")</f>
        <v>View Listing</v>
      </c>
    </row>
    <row r="36" spans="1:14" x14ac:dyDescent="0.25">
      <c r="A36" t="s">
        <v>143</v>
      </c>
      <c r="B36" t="s">
        <v>144</v>
      </c>
      <c r="C36" t="s">
        <v>22</v>
      </c>
      <c r="D36" s="1">
        <v>410000</v>
      </c>
      <c r="E36">
        <v>5.2</v>
      </c>
      <c r="F36" t="s">
        <v>17</v>
      </c>
      <c r="G36">
        <v>88</v>
      </c>
      <c r="H36" t="s">
        <v>145</v>
      </c>
      <c r="I36">
        <v>39.119999999999997</v>
      </c>
      <c r="J36">
        <v>-79.459999999999994</v>
      </c>
      <c r="K36">
        <v>140</v>
      </c>
      <c r="L36" t="s">
        <v>146</v>
      </c>
      <c r="M36">
        <v>88</v>
      </c>
      <c r="N36" t="str">
        <f>HYPERLINK("https://www.google.com/search?q=96+Sunfish+Ct+Davis+WV+Redfin","View Listing")</f>
        <v>View Listing</v>
      </c>
    </row>
    <row r="37" spans="1:14" x14ac:dyDescent="0.25">
      <c r="A37" t="s">
        <v>147</v>
      </c>
      <c r="B37" t="s">
        <v>148</v>
      </c>
      <c r="C37" t="s">
        <v>16</v>
      </c>
      <c r="D37" s="1">
        <v>450000</v>
      </c>
      <c r="E37">
        <v>5</v>
      </c>
      <c r="F37" t="s">
        <v>17</v>
      </c>
      <c r="G37">
        <v>88</v>
      </c>
      <c r="H37" t="s">
        <v>149</v>
      </c>
      <c r="I37">
        <v>38.6</v>
      </c>
      <c r="J37">
        <v>-77.7</v>
      </c>
      <c r="K37">
        <v>50</v>
      </c>
      <c r="L37" t="s">
        <v>150</v>
      </c>
      <c r="M37">
        <v>88</v>
      </c>
      <c r="N37" t="str">
        <f>HYPERLINK("https://www.google.com/search?q=3587+Monarch+Ln+Midland+VA+Redfin","View Listing")</f>
        <v>View Listing</v>
      </c>
    </row>
    <row r="38" spans="1:14" x14ac:dyDescent="0.25">
      <c r="A38" t="s">
        <v>151</v>
      </c>
      <c r="B38" t="s">
        <v>152</v>
      </c>
      <c r="C38" t="s">
        <v>16</v>
      </c>
      <c r="D38" s="1">
        <v>450000</v>
      </c>
      <c r="E38">
        <v>5</v>
      </c>
      <c r="F38" t="s">
        <v>17</v>
      </c>
      <c r="G38">
        <v>88</v>
      </c>
      <c r="H38" t="s">
        <v>153</v>
      </c>
      <c r="I38">
        <v>38.200000000000003</v>
      </c>
      <c r="J38">
        <v>-77.58</v>
      </c>
      <c r="K38">
        <v>68</v>
      </c>
      <c r="L38" t="s">
        <v>154</v>
      </c>
      <c r="M38">
        <v>88</v>
      </c>
      <c r="N38" t="str">
        <f>HYPERLINK("https://www.google.com/search?q=8140+Courthouse+Rd+Spotsylvania+VA+Redfin","View Listing")</f>
        <v>View Listing</v>
      </c>
    </row>
    <row r="39" spans="1:14" x14ac:dyDescent="0.25">
      <c r="A39" t="s">
        <v>155</v>
      </c>
      <c r="B39" t="s">
        <v>156</v>
      </c>
      <c r="C39" t="s">
        <v>16</v>
      </c>
      <c r="D39" s="1">
        <v>499000</v>
      </c>
      <c r="E39">
        <v>4.99</v>
      </c>
      <c r="F39" t="s">
        <v>17</v>
      </c>
      <c r="G39">
        <v>88</v>
      </c>
      <c r="H39" t="s">
        <v>157</v>
      </c>
      <c r="I39">
        <v>38.950000000000003</v>
      </c>
      <c r="J39">
        <v>-78.150000000000006</v>
      </c>
      <c r="K39">
        <v>65</v>
      </c>
      <c r="L39" t="s">
        <v>158</v>
      </c>
      <c r="M39">
        <v>88</v>
      </c>
      <c r="N39" t="str">
        <f>HYPERLINK("https://www.google.com/search?q=709+Howellsville+Heights+Cir+Front+Royal+VA+Redfin","View Listing")</f>
        <v>View Listing</v>
      </c>
    </row>
    <row r="40" spans="1:14" x14ac:dyDescent="0.25">
      <c r="A40" t="s">
        <v>159</v>
      </c>
      <c r="B40" t="s">
        <v>160</v>
      </c>
      <c r="C40" t="s">
        <v>27</v>
      </c>
      <c r="D40" s="1">
        <v>350000</v>
      </c>
      <c r="E40">
        <v>4.9000000000000004</v>
      </c>
      <c r="F40" t="s">
        <v>17</v>
      </c>
      <c r="G40">
        <v>87</v>
      </c>
      <c r="H40" t="s">
        <v>161</v>
      </c>
      <c r="I40">
        <v>39.78</v>
      </c>
      <c r="J40">
        <v>-77.349999999999994</v>
      </c>
      <c r="K40">
        <v>75</v>
      </c>
      <c r="L40" t="s">
        <v>162</v>
      </c>
      <c r="M40">
        <v>87</v>
      </c>
      <c r="N40" t="str">
        <f>HYPERLINK("https://www.google.com/search?q=615+Middle+Creek+Rd+Fairfield+PA+Redfin","View Listing")</f>
        <v>View Listing</v>
      </c>
    </row>
    <row r="41" spans="1:14" x14ac:dyDescent="0.25">
      <c r="A41" t="s">
        <v>163</v>
      </c>
      <c r="B41" t="s">
        <v>164</v>
      </c>
      <c r="C41" t="s">
        <v>165</v>
      </c>
      <c r="D41" s="1">
        <v>385000</v>
      </c>
      <c r="E41">
        <v>5.2</v>
      </c>
      <c r="F41" t="s">
        <v>17</v>
      </c>
      <c r="G41">
        <v>87</v>
      </c>
      <c r="H41" t="s">
        <v>166</v>
      </c>
      <c r="I41">
        <v>39.53</v>
      </c>
      <c r="J41">
        <v>-77.31</v>
      </c>
      <c r="K41">
        <v>60</v>
      </c>
      <c r="L41" t="s">
        <v>167</v>
      </c>
      <c r="M41">
        <v>87</v>
      </c>
      <c r="N41" t="str">
        <f>HYPERLINK("https://www.google.com/search?q=102+Woodsboro+Rd+Woodsboro+MD+Redfin","View Listing")</f>
        <v>View Listing</v>
      </c>
    </row>
    <row r="42" spans="1:14" x14ac:dyDescent="0.25">
      <c r="A42" t="s">
        <v>168</v>
      </c>
      <c r="B42" t="s">
        <v>59</v>
      </c>
      <c r="C42" t="s">
        <v>22</v>
      </c>
      <c r="D42" s="1">
        <v>500000</v>
      </c>
      <c r="E42">
        <v>25.7</v>
      </c>
      <c r="F42" t="s">
        <v>17</v>
      </c>
      <c r="G42">
        <v>95</v>
      </c>
      <c r="H42" t="s">
        <v>169</v>
      </c>
      <c r="I42">
        <v>39.340000000000003</v>
      </c>
      <c r="J42">
        <v>-78.75</v>
      </c>
      <c r="K42">
        <v>110</v>
      </c>
      <c r="L42" t="s">
        <v>170</v>
      </c>
      <c r="M42">
        <v>95</v>
      </c>
      <c r="N42" t="str">
        <f>HYPERLINK("https://www.google.com/search?q=The+Vance+Farm+Romney+WV+Real+Estate","View Listing")</f>
        <v>View Listing</v>
      </c>
    </row>
    <row r="43" spans="1:14" x14ac:dyDescent="0.25">
      <c r="A43" t="s">
        <v>171</v>
      </c>
      <c r="B43" t="s">
        <v>31</v>
      </c>
      <c r="C43" t="s">
        <v>22</v>
      </c>
      <c r="D43" s="1">
        <v>405000</v>
      </c>
      <c r="E43">
        <v>5</v>
      </c>
      <c r="F43" t="s">
        <v>17</v>
      </c>
      <c r="G43">
        <v>86</v>
      </c>
      <c r="H43" t="s">
        <v>172</v>
      </c>
      <c r="I43">
        <v>39.6</v>
      </c>
      <c r="J43">
        <v>-78.2</v>
      </c>
      <c r="K43">
        <v>100</v>
      </c>
      <c r="L43" t="s">
        <v>173</v>
      </c>
      <c r="M43">
        <v>86</v>
      </c>
      <c r="N43" t="str">
        <f>HYPERLINK("https://www.google.com/search?q=509+Creekview+Ln+Berkeley+Springs+WV+Redfin","View Listing")</f>
        <v>View Listing</v>
      </c>
    </row>
    <row r="44" spans="1:14" x14ac:dyDescent="0.25">
      <c r="A44" t="s">
        <v>174</v>
      </c>
      <c r="B44" t="s">
        <v>21</v>
      </c>
      <c r="C44" t="s">
        <v>22</v>
      </c>
      <c r="D44" s="1">
        <v>424000</v>
      </c>
      <c r="E44">
        <v>4.91</v>
      </c>
      <c r="F44" t="s">
        <v>17</v>
      </c>
      <c r="G44">
        <v>86</v>
      </c>
      <c r="H44" t="s">
        <v>175</v>
      </c>
      <c r="I44">
        <v>39.29</v>
      </c>
      <c r="J44">
        <v>-78.599999999999994</v>
      </c>
      <c r="K44">
        <v>105</v>
      </c>
      <c r="L44" t="s">
        <v>176</v>
      </c>
      <c r="M44">
        <v>86</v>
      </c>
      <c r="N44" t="str">
        <f>HYPERLINK("https://www.google.com/search?q=76+Crimson+Oak+Ln+Augusta+WV+Redfin","View Listing")</f>
        <v>View Listing</v>
      </c>
    </row>
    <row r="45" spans="1:14" x14ac:dyDescent="0.25">
      <c r="A45" t="s">
        <v>177</v>
      </c>
      <c r="B45" t="s">
        <v>178</v>
      </c>
      <c r="C45" t="s">
        <v>165</v>
      </c>
      <c r="D45" s="1">
        <v>449900</v>
      </c>
      <c r="E45">
        <v>4.3</v>
      </c>
      <c r="F45" t="s">
        <v>17</v>
      </c>
      <c r="G45">
        <v>85</v>
      </c>
      <c r="H45" t="s">
        <v>179</v>
      </c>
      <c r="I45">
        <v>39.619999999999997</v>
      </c>
      <c r="J45">
        <v>-77.41</v>
      </c>
      <c r="K45">
        <v>62</v>
      </c>
      <c r="L45" t="s">
        <v>180</v>
      </c>
      <c r="M45">
        <v>85</v>
      </c>
      <c r="N45" t="str">
        <f>HYPERLINK("https://www.google.com/search?q=12261+Baugher+Rd+Thurmont+MD+Redfin","View Listing")</f>
        <v>View Listing</v>
      </c>
    </row>
    <row r="46" spans="1:14" x14ac:dyDescent="0.25">
      <c r="A46" t="s">
        <v>181</v>
      </c>
      <c r="B46" t="s">
        <v>31</v>
      </c>
      <c r="C46" t="s">
        <v>22</v>
      </c>
      <c r="D46" s="1">
        <v>315000</v>
      </c>
      <c r="E46">
        <v>10</v>
      </c>
      <c r="F46" t="s">
        <v>182</v>
      </c>
      <c r="G46">
        <v>85</v>
      </c>
      <c r="H46" t="s">
        <v>183</v>
      </c>
      <c r="I46">
        <v>39.6</v>
      </c>
      <c r="J46">
        <v>-78.2</v>
      </c>
      <c r="K46">
        <v>100</v>
      </c>
      <c r="L46" t="s">
        <v>184</v>
      </c>
      <c r="M46">
        <v>85</v>
      </c>
      <c r="N46" t="str">
        <f>HYPERLINK("https://www.google.com/search?q=281+Misty+Ln+Berkeley+Springs+WV+Redfin","View Listing")</f>
        <v>View Listing</v>
      </c>
    </row>
    <row r="47" spans="1:14" x14ac:dyDescent="0.25">
      <c r="A47" t="s">
        <v>185</v>
      </c>
      <c r="B47" t="s">
        <v>31</v>
      </c>
      <c r="C47" t="s">
        <v>22</v>
      </c>
      <c r="D47" s="1">
        <v>379900</v>
      </c>
      <c r="E47">
        <v>5</v>
      </c>
      <c r="F47" t="s">
        <v>17</v>
      </c>
      <c r="G47">
        <v>85</v>
      </c>
      <c r="H47" t="s">
        <v>186</v>
      </c>
      <c r="I47">
        <v>39.6</v>
      </c>
      <c r="J47">
        <v>-78.2</v>
      </c>
      <c r="K47">
        <v>100</v>
      </c>
      <c r="L47" t="s">
        <v>187</v>
      </c>
      <c r="M47">
        <v>85</v>
      </c>
      <c r="N47" t="str">
        <f>HYPERLINK("https://www.google.com/search?q=308+Greenwoods+Dr+Berkeley+Springs+WV+Redfin","View Listing")</f>
        <v>View Listing</v>
      </c>
    </row>
    <row r="48" spans="1:14" x14ac:dyDescent="0.25">
      <c r="A48" t="s">
        <v>188</v>
      </c>
      <c r="B48" t="s">
        <v>189</v>
      </c>
      <c r="C48" t="s">
        <v>22</v>
      </c>
      <c r="D48" s="1">
        <v>350000</v>
      </c>
      <c r="E48">
        <v>5</v>
      </c>
      <c r="F48" t="s">
        <v>40</v>
      </c>
      <c r="G48">
        <v>84</v>
      </c>
      <c r="H48" t="s">
        <v>190</v>
      </c>
      <c r="I48">
        <v>39.15</v>
      </c>
      <c r="J48">
        <v>-78.650000000000006</v>
      </c>
      <c r="K48">
        <v>110</v>
      </c>
      <c r="L48" t="s">
        <v>191</v>
      </c>
      <c r="M48">
        <v>84</v>
      </c>
      <c r="N48" t="str">
        <f>HYPERLINK("https://www.google.com/search?q=1345+Pauls+Woods+Rd+Delray+WV+Redfin","View Listing")</f>
        <v>View Listing</v>
      </c>
    </row>
    <row r="49" spans="1:14" x14ac:dyDescent="0.25">
      <c r="A49" t="s">
        <v>192</v>
      </c>
      <c r="B49" t="s">
        <v>193</v>
      </c>
      <c r="C49" t="s">
        <v>27</v>
      </c>
      <c r="D49" s="1">
        <v>259900</v>
      </c>
      <c r="E49">
        <v>5</v>
      </c>
      <c r="F49" t="s">
        <v>17</v>
      </c>
      <c r="G49">
        <v>84</v>
      </c>
      <c r="H49" t="s">
        <v>194</v>
      </c>
      <c r="I49">
        <v>39.799999999999997</v>
      </c>
      <c r="J49">
        <v>-77.72</v>
      </c>
      <c r="K49">
        <v>85</v>
      </c>
      <c r="L49" t="s">
        <v>195</v>
      </c>
      <c r="M49">
        <v>84</v>
      </c>
      <c r="N49" t="str">
        <f>HYPERLINK("https://www.google.com/search?q=3891+Coseytown+Rd+Greencastle+PA+Redfin","View Listing")</f>
        <v>View Listing</v>
      </c>
    </row>
    <row r="50" spans="1:14" x14ac:dyDescent="0.25">
      <c r="A50" t="s">
        <v>196</v>
      </c>
      <c r="B50" t="s">
        <v>156</v>
      </c>
      <c r="C50" t="s">
        <v>16</v>
      </c>
      <c r="D50" s="1">
        <v>499000</v>
      </c>
      <c r="E50">
        <v>5.07</v>
      </c>
      <c r="F50" t="s">
        <v>17</v>
      </c>
      <c r="G50">
        <v>88</v>
      </c>
      <c r="H50" t="s">
        <v>197</v>
      </c>
      <c r="I50">
        <v>38.9</v>
      </c>
      <c r="J50">
        <v>-78.2</v>
      </c>
      <c r="K50">
        <v>65</v>
      </c>
      <c r="L50" t="s">
        <v>198</v>
      </c>
      <c r="M50">
        <v>88</v>
      </c>
      <c r="N50" t="str">
        <f>HYPERLINK("https://www.google.com/search?q=143+Cardinal+Wind+Dr+Front+Royal+VA+Redfin","View Listing")</f>
        <v>View Listing</v>
      </c>
    </row>
    <row r="51" spans="1:14" x14ac:dyDescent="0.25">
      <c r="A51" t="s">
        <v>199</v>
      </c>
      <c r="B51" t="s">
        <v>200</v>
      </c>
      <c r="C51" t="s">
        <v>27</v>
      </c>
      <c r="D51" s="1">
        <v>339500</v>
      </c>
      <c r="E51">
        <v>5</v>
      </c>
      <c r="F51" t="s">
        <v>17</v>
      </c>
      <c r="G51">
        <v>83</v>
      </c>
      <c r="H51" t="s">
        <v>201</v>
      </c>
      <c r="I51">
        <v>39.75</v>
      </c>
      <c r="J51">
        <v>-77.58</v>
      </c>
      <c r="K51">
        <v>80</v>
      </c>
      <c r="L51" t="s">
        <v>202</v>
      </c>
      <c r="M51">
        <v>83</v>
      </c>
      <c r="N51" t="str">
        <f>HYPERLINK("https://www.google.com/search?q=10968+Old+Forge+Rd+Waynesboro+PA+Redfin","View Listing")</f>
        <v>View Listing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Peter_OMEN</dc:creator>
  <cp:lastModifiedBy>Peter_OMEN</cp:lastModifiedBy>
  <dcterms:created xsi:type="dcterms:W3CDTF">2026-02-01T20:21:57Z</dcterms:created>
  <dcterms:modified xsi:type="dcterms:W3CDTF">2026-02-01T20:46:33Z</dcterms:modified>
</cp:coreProperties>
</file>